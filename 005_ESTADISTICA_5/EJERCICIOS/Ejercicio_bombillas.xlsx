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<sst xmlns="http://schemas.openxmlformats.org/spreadsheetml/2006/main" count="19" uniqueCount="19">
  <si>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concepto</t>
  </si>
  <si>
    <t xml:space="preserve">calculo</t>
  </si>
  <si>
    <t xml:space="preserve">resultado</t>
  </si>
  <si>
    <t xml:space="preserve">Media poblacional (μ)</t>
  </si>
  <si>
    <t xml:space="preserve">Desviación estándar poblacional (σ)</t>
  </si>
  <si>
    <t xml:space="preserve">Tamaño de la muestra (n)</t>
  </si>
  <si>
    <t xml:space="preserve">Error estándar de la media</t>
  </si>
  <si>
    <t xml:space="preserve">Z para 1180</t>
  </si>
  <si>
    <t xml:space="preserve">Z para 1220</t>
  </si>
  <si>
    <t xml:space="preserve">P(Z &lt; 1,2)</t>
  </si>
  <si>
    <t xml:space="preserve">P(Z &lt; -1,2)</t>
  </si>
  <si>
    <t xml:space="preserve">P(1180 &lt; X̄ &lt; 1220) </t>
  </si>
  <si>
    <t xml:space="preserve">Z para 1230 </t>
  </si>
  <si>
    <t xml:space="preserve">P(Z &lt; 1,8) </t>
  </si>
  <si>
    <t xml:space="preserve">P(X̄ &gt; 1230) </t>
  </si>
  <si>
    <t xml:space="preserve">Z para 1170 </t>
  </si>
  <si>
    <t xml:space="preserve">P(Z &lt; -1,8) </t>
  </si>
  <si>
    <t xml:space="preserve">P(Z &gt; 1,8) </t>
  </si>
  <si>
    <t xml:space="preserve">P(|X̄ − 1200| &gt; 30)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</si>
</sst>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21" activeCellId="0" sqref="C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.71"/>
    <col collapsed="false" customWidth="true" hidden="false" outlineLevel="0" max="3" min="3" style="0" width="17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C2" s="0" t="n">
        <v>1200</v>
      </c>
    </row>
    <row r="3" customFormat="false" ht="12.8" hidden="false" customHeight="false" outlineLevel="0" collapsed="false">
      <c r="A3" s="0" t="s">
        <v>4</v>
      </c>
      <c r="C3" s="0" t="n">
        <v>100</v>
      </c>
    </row>
    <row r="4" customFormat="false" ht="12.8" hidden="false" customHeight="false" outlineLevel="0" collapsed="false">
      <c r="A4" s="0" t="s">
        <v>5</v>
      </c>
      <c r="C4" s="0" t="n">
        <v>36</v>
      </c>
    </row>
    <row r="5" customFormat="false" ht="12.8" hidden="false" customHeight="false" outlineLevel="0" collapsed="false">
      <c r="A5" s="0" t="s">
        <v>6</v>
      </c>
      <c r="C5" s="0" t="n">
        <f aca="false">C3/SQRT(C4)</f>
        <v>16.6666666666667</v>
      </c>
    </row>
    <row r="7" customFormat="false" ht="12.8" hidden="false" customHeight="false" outlineLevel="0" collapsed="false">
      <c r="A7" s="0" t="s">
        <v>7</v>
      </c>
      <c r="C7" s="1" t="n">
        <f aca="false">(1180-C2)/C5</f>
        <v>-1.2</v>
      </c>
    </row>
    <row r="8" customFormat="false" ht="12.8" hidden="false" customHeight="false" outlineLevel="0" collapsed="false">
      <c r="A8" s="1" t="s">
        <v>8</v>
      </c>
      <c r="C8" s="0" t="n">
        <f aca="false">(1220-C2)/C5</f>
        <v>1.2</v>
      </c>
    </row>
    <row r="9" customFormat="false" ht="12.8" hidden="false" customHeight="false" outlineLevel="0" collapsed="false">
      <c r="A9" s="0" t="s">
        <v>9</v>
      </c>
      <c r="C9" s="0" t="n">
        <f aca="false">NORMDIST(C8,0,1,1)</f>
        <v>0.884930329778292</v>
      </c>
    </row>
    <row r="10" customFormat="false" ht="12.8" hidden="false" customHeight="false" outlineLevel="0" collapsed="false">
      <c r="A10" s="0" t="s">
        <v>10</v>
      </c>
      <c r="C10" s="0" t="n">
        <f aca="false">NORMDIST(C7,0,1,1)</f>
        <v>0.115069670221708</v>
      </c>
    </row>
    <row r="11" customFormat="false" ht="12.8" hidden="false" customHeight="false" outlineLevel="0" collapsed="false">
      <c r="A11" s="1" t="s">
        <v>11</v>
      </c>
      <c r="C11" s="1" t="n">
        <f aca="false">C9-C10</f>
        <v>0.769860659556584</v>
      </c>
    </row>
    <row r="13" customFormat="false" ht="12.8" hidden="false" customHeight="false" outlineLevel="0" collapsed="false">
      <c r="A13" s="1" t="s">
        <v>12</v>
      </c>
      <c r="C13" s="1" t="n">
        <f aca="false">(1230-C2)/C5</f>
        <v>1.8</v>
      </c>
    </row>
    <row r="14" customFormat="false" ht="12.8" hidden="false" customHeight="false" outlineLevel="0" collapsed="false">
      <c r="A14" s="1" t="s">
        <v>13</v>
      </c>
      <c r="C14" s="1" t="n">
        <f aca="false">NORMDIST(C13,0,1,1)</f>
        <v>0.964069680887074</v>
      </c>
    </row>
    <row r="15" customFormat="false" ht="12.8" hidden="false" customHeight="false" outlineLevel="0" collapsed="false">
      <c r="A15" s="1" t="s">
        <v>14</v>
      </c>
      <c r="C15" s="1" t="n">
        <f aca="false">1-C14</f>
        <v>0.0359303191129258</v>
      </c>
    </row>
    <row r="17" customFormat="false" ht="12.8" hidden="false" customHeight="false" outlineLevel="0" collapsed="false">
      <c r="A17" s="1" t="s">
        <v>15</v>
      </c>
      <c r="C17" s="1" t="n">
        <f aca="false">(1170-C2)/C5</f>
        <v>-1.8</v>
      </c>
    </row>
    <row r="18" customFormat="false" ht="12.8" hidden="false" customHeight="false" outlineLevel="0" collapsed="false">
      <c r="A18" s="1" t="s">
        <v>16</v>
      </c>
      <c r="C18" s="1" t="n">
        <f aca="false">NORMDIST(C17,0,1,1)</f>
        <v>0.0359303191129258</v>
      </c>
    </row>
    <row r="19" customFormat="false" ht="12.8" hidden="false" customHeight="false" outlineLevel="0" collapsed="false">
      <c r="A19" s="1" t="s">
        <v>17</v>
      </c>
      <c r="C19" s="1" t="n">
        <f aca="false">1-C14</f>
        <v>0.0359303191129258</v>
      </c>
    </row>
    <row r="20" customFormat="false" ht="12.8" hidden="false" customHeight="false" outlineLevel="0" collapsed="false">
      <c r="A20" s="1" t="s">
        <v>18</v>
      </c>
      <c r="C20" s="1" t="n">
        <f aca="false">C18+C19</f>
        <v>0.0718606382258516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2026-02-08T19:34:31Z</dcterms:created>
  <dc:creator/>
  <dc:description/>
  <dc:language>es-ES</dc:language>
  <cp:lastModifiedBy/>
  <dcterms:modified xsi:type="dcterms:W3CDTF">2026-02-08T19:45:26Z</dcterms:modified>
  <cp:revision>1</cp:revision>
  <dc:subject/>
  <dc:title/>
</cp:coreProperties>
</file>